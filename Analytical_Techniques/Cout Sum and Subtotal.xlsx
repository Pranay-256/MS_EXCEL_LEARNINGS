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984AD940-FE60-40D7-B5D9-0BAC8D564968}" xr6:coauthVersionLast="47" xr6:coauthVersionMax="47" xr10:uidLastSave="{00000000-0000-0000-0000-000000000000}"/>
  <bookViews>
    <workbookView xWindow="-90" yWindow="0" windowWidth="11700" windowHeight="10170" xr2:uid="{E39B28A0-9412-4544-BE2B-7A0C17A1740F}"/>
  </bookViews>
  <sheets>
    <sheet name="Sheet1" sheetId="1" r:id="rId1"/>
  </sheets>
  <definedNames>
    <definedName name="_xlnm._FilterDatabase" localSheetId="0" hidden="1">Sheet1!$A$1:$G$11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1" i="1"/>
  <c r="J10" i="1"/>
  <c r="J9" i="1"/>
  <c r="J7" i="1"/>
  <c r="J6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<sst xmlns="http://schemas.openxmlformats.org/spreadsheetml/2006/main" count="56" uniqueCount="32">
  <si>
    <t>OrderID</t>
  </si>
  <si>
    <t>Product</t>
  </si>
  <si>
    <t>Region</t>
  </si>
  <si>
    <t>Sales</t>
  </si>
  <si>
    <t>Quantity</t>
  </si>
  <si>
    <t>SalesRep</t>
  </si>
  <si>
    <t>Laptop</t>
  </si>
  <si>
    <t>North</t>
  </si>
  <si>
    <t>Raj</t>
  </si>
  <si>
    <t>Mouse</t>
  </si>
  <si>
    <t>East</t>
  </si>
  <si>
    <t>Meena</t>
  </si>
  <si>
    <t>Keyboard</t>
  </si>
  <si>
    <t>South</t>
  </si>
  <si>
    <t>Aditi</t>
  </si>
  <si>
    <t>Monitor</t>
  </si>
  <si>
    <t>West</t>
  </si>
  <si>
    <t>Karan</t>
  </si>
  <si>
    <t>Sonia</t>
  </si>
  <si>
    <t>count</t>
  </si>
  <si>
    <t>counta</t>
  </si>
  <si>
    <t>countBlank</t>
  </si>
  <si>
    <t>countif</t>
  </si>
  <si>
    <t>Status</t>
  </si>
  <si>
    <t>Delivered</t>
  </si>
  <si>
    <t>Pending</t>
  </si>
  <si>
    <t>Cancelled</t>
  </si>
  <si>
    <t>countifs</t>
  </si>
  <si>
    <t>sum</t>
  </si>
  <si>
    <t>sumif</t>
  </si>
  <si>
    <t>sumifs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</si>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</sst>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335B-C91B-45B4-9F51-049F60B7F2E6}">
  <dimension ref="A1:K13"/>
  <sheetViews>
    <sheetView tabSelected="1" topLeftCell="B1" zoomScale="70" workbookViewId="0">
      <selection activeCell="E18" sqref="E18"/>
    </sheetView>
  </sheetViews>
  <sheetFormatPr defaultRowHeight="21" x14ac:dyDescent="0.5"/>
  <cols>
    <col min="7" max="8" width="8.875" customWidth="1"/>
    <col min="9" max="9" width="9.6875" bestFit="1" customWidth="1"/>
    <col min="10" max="10" width="7.75" bestFit="1" customWidth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/>
    </row>
    <row r="2" spans="1:11" x14ac:dyDescent="0.5">
      <c r="A2" s="2">
        <v>1001</v>
      </c>
      <c r="B2" s="2" t="s">
        <v>6</v>
      </c>
      <c r="C2" s="2" t="s">
        <v>7</v>
      </c>
      <c r="D2" s="3">
        <v>55000</v>
      </c>
      <c r="E2" s="2">
        <v>5</v>
      </c>
      <c r="F2" s="2" t="s">
        <v>8</v>
      </c>
      <c r="G2" s="2" t="s">
        <v>24</v>
      </c>
      <c r="H2" s="2"/>
      <c r="I2" t="s">
        <v>19</v>
      </c>
      <c r="J2">
        <f>COUNT(D2:D11)</f>
        <v>9</v>
      </c>
      <c r="K2">
        <f>COUNT(C2:C11)</f>
        <v>0</v>
      </c>
    </row>
    <row r="3" spans="1:11" x14ac:dyDescent="0.5">
      <c r="A3" s="2">
        <v>1002</v>
      </c>
      <c r="B3" s="2" t="s">
        <v>9</v>
      </c>
      <c r="C3" s="2" t="s">
        <v>10</v>
      </c>
      <c r="D3" s="3">
        <v>3000</v>
      </c>
      <c r="E3" s="2">
        <v>15</v>
      </c>
      <c r="F3" s="2" t="s">
        <v>11</v>
      </c>
      <c r="G3" s="2" t="s">
        <v>25</v>
      </c>
      <c r="H3" s="2"/>
      <c r="I3" t="s">
        <v>20</v>
      </c>
      <c r="J3">
        <f>COUNTA(D2:D11)</f>
        <v>9</v>
      </c>
      <c r="K3">
        <f>COUNTA(F2:F11)</f>
        <v>10</v>
      </c>
    </row>
    <row r="4" spans="1:11" x14ac:dyDescent="0.5">
      <c r="A4" s="2">
        <v>1003</v>
      </c>
      <c r="B4" s="2" t="s">
        <v>12</v>
      </c>
      <c r="C4" s="2" t="s">
        <v>7</v>
      </c>
      <c r="D4" s="3">
        <v>7500</v>
      </c>
      <c r="E4" s="2">
        <v>10</v>
      </c>
      <c r="F4" s="2" t="s">
        <v>8</v>
      </c>
      <c r="G4" s="2" t="s">
        <v>24</v>
      </c>
      <c r="H4" s="2"/>
      <c r="I4" t="s">
        <v>21</v>
      </c>
      <c r="J4">
        <f>COUNTBLANK(D2:D11)</f>
        <v>1</v>
      </c>
      <c r="K4">
        <f>COUNTBLANK(F2:F11)</f>
        <v>0</v>
      </c>
    </row>
    <row r="5" spans="1:11" x14ac:dyDescent="0.5">
      <c r="A5" s="2">
        <v>1004</v>
      </c>
      <c r="B5" s="2" t="s">
        <v>6</v>
      </c>
      <c r="C5" s="2" t="s">
        <v>13</v>
      </c>
      <c r="D5" s="3">
        <v>60000</v>
      </c>
      <c r="E5" s="2">
        <v>6</v>
      </c>
      <c r="F5" s="2" t="s">
        <v>14</v>
      </c>
      <c r="G5" s="2" t="s">
        <v>26</v>
      </c>
      <c r="H5" s="2"/>
    </row>
    <row r="6" spans="1:11" x14ac:dyDescent="0.5">
      <c r="A6" s="2">
        <v>1005</v>
      </c>
      <c r="B6" s="2" t="s">
        <v>15</v>
      </c>
      <c r="C6" s="2" t="s">
        <v>10</v>
      </c>
      <c r="D6" s="3">
        <v>25000</v>
      </c>
      <c r="E6" s="2">
        <v>4</v>
      </c>
      <c r="F6" s="2" t="s">
        <v>11</v>
      </c>
      <c r="G6" s="2" t="s">
        <v>24</v>
      </c>
      <c r="H6" s="2"/>
      <c r="I6" t="s">
        <v>22</v>
      </c>
      <c r="J6">
        <f>COUNTIF(G2:G11,"Delivered")</f>
        <v>5</v>
      </c>
    </row>
    <row r="7" spans="1:11" x14ac:dyDescent="0.5">
      <c r="A7" s="2">
        <v>1006</v>
      </c>
      <c r="B7" s="2" t="s">
        <v>6</v>
      </c>
      <c r="C7" s="2" t="s">
        <v>16</v>
      </c>
      <c r="D7" s="3">
        <v>58000</v>
      </c>
      <c r="E7" s="2">
        <v>5</v>
      </c>
      <c r="F7" s="2" t="s">
        <v>17</v>
      </c>
      <c r="G7" s="2" t="s">
        <v>24</v>
      </c>
      <c r="H7" s="2"/>
      <c r="I7" s="2" t="s">
        <v>27</v>
      </c>
      <c r="J7">
        <f>COUNTIFS(B2:B11,"Laptop",G2:G11,"Delivered",C2:C11,"North")</f>
        <v>1</v>
      </c>
    </row>
    <row r="8" spans="1:11" x14ac:dyDescent="0.5">
      <c r="A8" s="2">
        <v>1007</v>
      </c>
      <c r="B8" s="2" t="s">
        <v>9</v>
      </c>
      <c r="C8" s="2" t="s">
        <v>7</v>
      </c>
      <c r="D8" s="3">
        <v>2800</v>
      </c>
      <c r="E8" s="2">
        <v>12</v>
      </c>
      <c r="F8" s="2" t="s">
        <v>8</v>
      </c>
      <c r="G8" s="2" t="s">
        <v>25</v>
      </c>
      <c r="H8" s="2"/>
    </row>
    <row r="9" spans="1:11" x14ac:dyDescent="0.5">
      <c r="A9" s="2">
        <v>1008</v>
      </c>
      <c r="B9" s="2" t="s">
        <v>15</v>
      </c>
      <c r="C9" s="2" t="s">
        <v>13</v>
      </c>
      <c r="D9" s="3">
        <v>27000</v>
      </c>
      <c r="E9" s="2">
        <v>5</v>
      </c>
      <c r="F9" s="2" t="s">
        <v>14</v>
      </c>
      <c r="G9" s="2" t="s">
        <v>24</v>
      </c>
      <c r="H9" s="2"/>
      <c r="I9" t="s">
        <v>28</v>
      </c>
      <c r="J9" s="4">
        <f>SUM(D2:D11)</f>
        <v>241500</v>
      </c>
    </row>
    <row r="10" spans="1:11" x14ac:dyDescent="0.5">
      <c r="A10" s="2">
        <v>1009</v>
      </c>
      <c r="B10" s="2" t="s">
        <v>6</v>
      </c>
      <c r="C10" s="2" t="s">
        <v>10</v>
      </c>
      <c r="D10" s="3"/>
      <c r="E10" s="2">
        <v>4</v>
      </c>
      <c r="F10" s="2" t="s">
        <v>17</v>
      </c>
      <c r="G10" s="2" t="s">
        <v>25</v>
      </c>
      <c r="H10" s="2"/>
      <c r="I10" t="s">
        <v>29</v>
      </c>
      <c r="J10" s="4">
        <f>SUMIF(B2:B11,"Laptop",D2:D11)</f>
        <v>173000</v>
      </c>
    </row>
    <row r="11" spans="1:11" x14ac:dyDescent="0.5">
      <c r="A11" s="2">
        <v>1010</v>
      </c>
      <c r="B11" s="2" t="s">
        <v>9</v>
      </c>
      <c r="C11" s="2" t="s">
        <v>16</v>
      </c>
      <c r="D11" s="3">
        <v>3200</v>
      </c>
      <c r="E11" s="2"/>
      <c r="F11" s="2" t="s">
        <v>18</v>
      </c>
      <c r="G11" s="2" t="s">
        <v>26</v>
      </c>
      <c r="H11" s="2"/>
      <c r="I11" t="s">
        <v>30</v>
      </c>
      <c r="J11">
        <f>SUMIFS(D2:D11,C2:C11,"North",G2:G11,"Delivered",E2:E11,"&gt;5")</f>
        <v>7500</v>
      </c>
    </row>
    <row r="13" spans="1:11" x14ac:dyDescent="0.5">
      <c r="I13" t="s">
        <v>31</v>
      </c>
      <c r="J13">
        <f>SUBTOTAL(9,D2:D11)</f>
        <v>241500</v>
      </c>
    </row>
  </sheetData>
  <autoFilter ref="A1:G11" xr:uid="{4646335B-C91B-45B4-9F51-049F60B7F2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2025-09-29T08:39:57Z</dcterms:created>
  <dcterms:modified xsi:type="dcterms:W3CDTF">2026-02-28T03:51:45Z</dcterms:modified>
</cp:coreProperties>
</file>