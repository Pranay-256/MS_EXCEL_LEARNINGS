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1B41C2F3-5B1A-4B1A-8E8C-24E5D1811735}" xr6:coauthVersionLast="47" xr6:coauthVersionMax="47" xr10:uidLastSave="{00000000-0000-0000-0000-000000000000}"/>
  <bookViews>
    <workbookView xWindow="-110" yWindow="-110" windowWidth="19420" windowHeight="10300" xr2:uid="{86C2143A-C104-4631-B0C3-FAE18B7B60CC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26" i="1"/>
  <c r="E16" i="1"/>
  <c r="E21" i="1"/>
  <c r="C10" i="1"/>
  <c r="C15" i="1"/>
  <c r="D11" i="1"/>
</calcChain>
</file>

<file path=xl/sharedStrings.xml><?xml version="1.0" encoding="utf-8"?>
<sst xmlns="http://schemas.openxmlformats.org/spreadsheetml/2006/main" count="33" uniqueCount="28">
  <si>
    <t>EmpID</t>
  </si>
  <si>
    <t>Name</t>
  </si>
  <si>
    <t>Salary</t>
  </si>
  <si>
    <t>Aditi</t>
  </si>
  <si>
    <t>Raj</t>
  </si>
  <si>
    <t>Meena</t>
  </si>
  <si>
    <t>Karan</t>
  </si>
  <si>
    <t>Sonia</t>
  </si>
  <si>
    <t>Location</t>
  </si>
  <si>
    <t>HR</t>
  </si>
  <si>
    <t>Delhi</t>
  </si>
  <si>
    <t>IT</t>
  </si>
  <si>
    <t>Bangalore</t>
  </si>
  <si>
    <t>Finance</t>
  </si>
  <si>
    <t>Mumbai</t>
  </si>
  <si>
    <t>Department</t>
  </si>
  <si>
    <t>Pune</t>
  </si>
  <si>
    <t>Raj department</t>
  </si>
  <si>
    <t>Vlookup</t>
  </si>
  <si>
    <t>Dept</t>
  </si>
  <si>
    <t>FINANCE</t>
  </si>
  <si>
    <t>Avg</t>
  </si>
  <si>
    <t>Avg IT salalry</t>
  </si>
  <si>
    <t>Salary of 103</t>
  </si>
  <si>
    <t>only index</t>
  </si>
  <si>
    <t>salary of 103 by index and match</t>
  </si>
  <si>
    <t>xlookup location of 104</t>
  </si>
  <si>
    <t>index of finance by 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</si>
</sst>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6F0C-D68F-4B21-87C7-F723C2AF8CEA}">
  <dimension ref="A1:I26"/>
  <sheetViews>
    <sheetView tabSelected="1" topLeftCell="A9" workbookViewId="0">
      <selection activeCell="C26" sqref="C26"/>
    </sheetView>
  </sheetViews>
  <sheetFormatPr defaultRowHeight="21" x14ac:dyDescent="0.5"/>
  <cols>
    <col min="1" max="1" width="6.1875" bestFit="1" customWidth="1"/>
    <col min="2" max="2" width="6.125" bestFit="1" customWidth="1"/>
    <col min="3" max="3" width="10.625" bestFit="1" customWidth="1"/>
    <col min="4" max="4" width="7.125" bestFit="1" customWidth="1"/>
    <col min="5" max="5" width="8.8125" bestFit="1" customWidth="1"/>
    <col min="6" max="6" width="4.5" bestFit="1" customWidth="1"/>
    <col min="7" max="8" width="5.6875" bestFit="1" customWidth="1"/>
    <col min="9" max="9" width="8.0625" bestFit="1" customWidth="1"/>
  </cols>
  <sheetData>
    <row r="1" spans="1:9" x14ac:dyDescent="0.5">
      <c r="A1" s="1" t="s">
        <v>0</v>
      </c>
      <c r="B1" s="1" t="s">
        <v>1</v>
      </c>
      <c r="C1" s="1" t="s">
        <v>15</v>
      </c>
      <c r="D1" s="1" t="s">
        <v>2</v>
      </c>
      <c r="E1" s="1" t="s">
        <v>8</v>
      </c>
    </row>
    <row r="2" spans="1:9" x14ac:dyDescent="0.5">
      <c r="A2" s="2">
        <v>101</v>
      </c>
      <c r="B2" s="2" t="s">
        <v>3</v>
      </c>
      <c r="C2" s="2" t="s">
        <v>9</v>
      </c>
      <c r="D2" s="3">
        <v>40000</v>
      </c>
      <c r="E2" s="2" t="s">
        <v>10</v>
      </c>
    </row>
    <row r="3" spans="1:9" x14ac:dyDescent="0.5">
      <c r="A3" s="2">
        <v>102</v>
      </c>
      <c r="B3" s="2" t="s">
        <v>4</v>
      </c>
      <c r="C3" s="2" t="s">
        <v>11</v>
      </c>
      <c r="D3" s="3">
        <v>65000</v>
      </c>
      <c r="E3" s="2" t="s">
        <v>14</v>
      </c>
    </row>
    <row r="4" spans="1:9" x14ac:dyDescent="0.5">
      <c r="A4" s="2">
        <v>103</v>
      </c>
      <c r="B4" s="2" t="s">
        <v>5</v>
      </c>
      <c r="C4" s="2" t="s">
        <v>13</v>
      </c>
      <c r="D4" s="3">
        <v>55000</v>
      </c>
      <c r="E4" s="2" t="s">
        <v>12</v>
      </c>
    </row>
    <row r="5" spans="1:9" x14ac:dyDescent="0.5">
      <c r="A5" s="2">
        <v>104</v>
      </c>
      <c r="B5" s="2" t="s">
        <v>6</v>
      </c>
      <c r="C5" s="2" t="s">
        <v>11</v>
      </c>
      <c r="D5" s="3">
        <v>80000</v>
      </c>
      <c r="E5" s="2" t="s">
        <v>16</v>
      </c>
    </row>
    <row r="6" spans="1:9" x14ac:dyDescent="0.5">
      <c r="A6" s="2">
        <v>105</v>
      </c>
      <c r="B6" s="2" t="s">
        <v>7</v>
      </c>
      <c r="C6" s="2" t="s">
        <v>9</v>
      </c>
      <c r="D6" s="3">
        <v>50000</v>
      </c>
      <c r="E6" s="2" t="s">
        <v>10</v>
      </c>
    </row>
    <row r="10" spans="1:9" ht="63" x14ac:dyDescent="0.5">
      <c r="B10" s="4" t="s">
        <v>17</v>
      </c>
      <c r="C10" s="5" t="str">
        <f>VLOOKUP(102,A1:E6,3,FALSE)</f>
        <v>IT</v>
      </c>
      <c r="D10" s="5" t="s">
        <v>18</v>
      </c>
    </row>
    <row r="11" spans="1:9" x14ac:dyDescent="0.5">
      <c r="B11" t="s">
        <v>22</v>
      </c>
      <c r="D11">
        <f>HLOOKUP("HR",F11:I12,2,TRUE)</f>
        <v>45000</v>
      </c>
      <c r="F11" t="s">
        <v>19</v>
      </c>
      <c r="G11" t="s">
        <v>9</v>
      </c>
      <c r="H11" t="s">
        <v>11</v>
      </c>
      <c r="I11" t="s">
        <v>20</v>
      </c>
    </row>
    <row r="12" spans="1:9" x14ac:dyDescent="0.5">
      <c r="F12" t="s">
        <v>21</v>
      </c>
      <c r="G12">
        <v>45000</v>
      </c>
      <c r="H12">
        <v>72000</v>
      </c>
      <c r="I12">
        <v>55000</v>
      </c>
    </row>
    <row r="15" spans="1:9" x14ac:dyDescent="0.5">
      <c r="A15" t="s">
        <v>23</v>
      </c>
      <c r="C15">
        <f>INDEX(D2:D6,3)</f>
        <v>55000</v>
      </c>
      <c r="D15" t="s">
        <v>24</v>
      </c>
    </row>
    <row r="16" spans="1:9" x14ac:dyDescent="0.5">
      <c r="A16" t="s">
        <v>25</v>
      </c>
      <c r="E16">
        <f>INDEX(D2:D6,MATCH(103,A2:A6,0))</f>
        <v>55000</v>
      </c>
    </row>
    <row r="18" spans="3:5" x14ac:dyDescent="0.5">
      <c r="C18">
        <f>MATCH(103,A2:A6,0)</f>
        <v>3</v>
      </c>
    </row>
    <row r="21" spans="3:5" ht="63" x14ac:dyDescent="0.5">
      <c r="C21" s="4" t="s">
        <v>26</v>
      </c>
      <c r="D21" s="4"/>
      <c r="E21" t="str">
        <f>_xlfn.XLOOKUP(105,A2:A6,E2:E6,"Not Found")</f>
        <v>Delhi</v>
      </c>
    </row>
    <row r="25" spans="3:5" x14ac:dyDescent="0.5">
      <c r="C25" t="s">
        <v>27</v>
      </c>
    </row>
    <row r="26" spans="3:5" x14ac:dyDescent="0.5">
      <c r="C26">
        <f>_xlfn.XMATCH("Finance",C2:C6)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2025-09-28T14:19:43Z</dcterms:created>
  <dcterms:modified xsi:type="dcterms:W3CDTF">2026-02-23T16:09:07Z</dcterms:modified>
</cp:coreProperties>
</file>