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rana\Downloads\"/>
    </mc:Choice>
  </mc:AlternateContent>
  <xr:revisionPtr revIDLastSave="0" documentId="13_ncr:1_{25E72EB4-8BB7-43A0-B80F-927317EBDFDB}" xr6:coauthVersionLast="47" xr6:coauthVersionMax="47" xr10:uidLastSave="{00000000-0000-0000-0000-000000000000}"/>
  <bookViews>
    <workbookView xWindow="-90" yWindow="0" windowWidth="11700" windowHeight="10170" xr2:uid="{83374882-0478-4D90-A783-7BD1D4D12D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2" i="1"/>
  <c r="J5" i="1"/>
  <c r="J2" i="1"/>
  <c r="K6" i="1"/>
  <c r="K3" i="1"/>
  <c r="K4" i="1"/>
  <c r="K5" i="1"/>
  <c r="K2" i="1"/>
  <c r="J3" i="1"/>
  <c r="J4" i="1"/>
  <c r="J6" i="1"/>
  <c r="I10" i="1"/>
  <c r="I12" i="1" s="1"/>
  <c r="I3" i="1"/>
  <c r="I4" i="1"/>
  <c r="I5" i="1"/>
  <c r="I6" i="1"/>
  <c r="I2" i="1"/>
  <c r="H3" i="1"/>
  <c r="H4" i="1"/>
  <c r="H5" i="1"/>
  <c r="H6" i="1"/>
  <c r="H2" i="1"/>
  <c r="G3" i="1"/>
  <c r="G4" i="1"/>
  <c r="G5" i="1"/>
  <c r="G6" i="1"/>
  <c r="G2" i="1"/>
  <c r="F3" i="1"/>
  <c r="F4" i="1"/>
  <c r="F5" i="1"/>
  <c r="F6" i="1"/>
  <c r="F2" i="1"/>
  <c r="I13" i="1" l="1"/>
  <c r="I11" i="1"/>
</calcChain>
</file>

<file path=xl/sharedStrings.xml><?xml version="1.0" encoding="utf-8"?>
<sst xmlns="http://schemas.openxmlformats.org/spreadsheetml/2006/main" count="17" uniqueCount="17">
  <si>
    <t>ID</t>
  </si>
  <si>
    <t>Name</t>
  </si>
  <si>
    <t>Join Date</t>
  </si>
  <si>
    <t>End Date</t>
  </si>
  <si>
    <t>DOB</t>
  </si>
  <si>
    <t>Aditi</t>
  </si>
  <si>
    <t>Raj</t>
  </si>
  <si>
    <t>Meena</t>
  </si>
  <si>
    <t>Karan</t>
  </si>
  <si>
    <t>Sonia</t>
  </si>
  <si>
    <t>Day</t>
  </si>
  <si>
    <t>Month</t>
  </si>
  <si>
    <t>Year</t>
  </si>
  <si>
    <t>Week num</t>
  </si>
  <si>
    <t>Date Diff</t>
  </si>
  <si>
    <t>Working Days</t>
  </si>
  <si>
    <t>EOMonth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</si>
</sst>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6E3EA-7351-4141-8EB0-580957AAF064}">
  <dimension ref="A1:L13"/>
  <sheetViews>
    <sheetView tabSelected="1" topLeftCell="F1" workbookViewId="0">
      <selection activeCell="L8" sqref="L8"/>
    </sheetView>
  </sheetViews>
  <sheetFormatPr defaultRowHeight="21" x14ac:dyDescent="0.5"/>
  <cols>
    <col min="1" max="1" width="3.6875" bestFit="1" customWidth="1"/>
    <col min="2" max="2" width="6.125" bestFit="1" customWidth="1"/>
    <col min="3" max="4" width="9.125" bestFit="1" customWidth="1"/>
    <col min="5" max="5" width="9.1875" bestFit="1" customWidth="1"/>
    <col min="9" max="9" width="14.875" bestFit="1" customWidth="1"/>
    <col min="11" max="11" width="12" bestFit="1" customWidth="1"/>
    <col min="12" max="12" width="9.9375" bestFit="1" customWidth="1"/>
  </cols>
  <sheetData>
    <row r="1" spans="1:12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</row>
    <row r="2" spans="1:12" x14ac:dyDescent="0.5">
      <c r="A2" s="2">
        <v>101</v>
      </c>
      <c r="B2" s="2" t="s">
        <v>5</v>
      </c>
      <c r="C2" s="3">
        <v>44562</v>
      </c>
      <c r="D2" s="3">
        <v>45657</v>
      </c>
      <c r="E2" s="3">
        <v>36022</v>
      </c>
      <c r="F2">
        <f>DAY(E2)</f>
        <v>15</v>
      </c>
      <c r="G2">
        <f>MONTH(E2)</f>
        <v>8</v>
      </c>
      <c r="H2">
        <f>YEAR(E2)</f>
        <v>1998</v>
      </c>
      <c r="I2">
        <f>WEEKNUM(C2,)</f>
        <v>1</v>
      </c>
      <c r="J2">
        <f>DATEDIF(C2,D2,"d")</f>
        <v>1095</v>
      </c>
      <c r="K2">
        <f>NETWORKDAYS(C2,D2)</f>
        <v>782</v>
      </c>
      <c r="L2" s="5">
        <f>EOMONTH(C2,0)</f>
        <v>44592</v>
      </c>
    </row>
    <row r="3" spans="1:12" x14ac:dyDescent="0.5">
      <c r="A3" s="2">
        <v>102</v>
      </c>
      <c r="B3" s="2" t="s">
        <v>6</v>
      </c>
      <c r="C3" s="3">
        <v>44270</v>
      </c>
      <c r="D3" s="3">
        <v>45731</v>
      </c>
      <c r="E3" s="3">
        <v>33166</v>
      </c>
      <c r="F3">
        <f t="shared" ref="F3:F6" si="0">DAY(E3)</f>
        <v>20</v>
      </c>
      <c r="G3">
        <f t="shared" ref="G3:G6" si="1">MONTH(E3)</f>
        <v>10</v>
      </c>
      <c r="H3">
        <f t="shared" ref="H3:H6" si="2">YEAR(E3)</f>
        <v>1990</v>
      </c>
      <c r="I3">
        <f t="shared" ref="I3:I6" si="3">WEEKNUM(C3,)</f>
        <v>12</v>
      </c>
      <c r="J3">
        <f t="shared" ref="J3:J6" si="4">DATEDIF(C3,D3,"d")</f>
        <v>1461</v>
      </c>
      <c r="K3">
        <f t="shared" ref="K3:K5" si="5">NETWORKDAYS(C3,D3)</f>
        <v>1045</v>
      </c>
      <c r="L3" s="5">
        <f t="shared" ref="L3:L6" si="6">EOMONTH(C3,0)</f>
        <v>44286</v>
      </c>
    </row>
    <row r="4" spans="1:12" x14ac:dyDescent="0.5">
      <c r="A4" s="2">
        <v>103</v>
      </c>
      <c r="B4" s="2" t="s">
        <v>7</v>
      </c>
      <c r="C4" s="3">
        <v>44022</v>
      </c>
      <c r="D4" s="3">
        <v>45116</v>
      </c>
      <c r="E4" s="3">
        <v>34704</v>
      </c>
      <c r="F4">
        <f t="shared" si="0"/>
        <v>5</v>
      </c>
      <c r="G4">
        <f t="shared" si="1"/>
        <v>1</v>
      </c>
      <c r="H4">
        <f t="shared" si="2"/>
        <v>1995</v>
      </c>
      <c r="I4">
        <f t="shared" si="3"/>
        <v>28</v>
      </c>
      <c r="J4">
        <f t="shared" si="4"/>
        <v>1094</v>
      </c>
      <c r="K4">
        <f t="shared" si="5"/>
        <v>781</v>
      </c>
      <c r="L4" s="5">
        <f t="shared" si="6"/>
        <v>44043</v>
      </c>
    </row>
    <row r="5" spans="1:12" x14ac:dyDescent="0.5">
      <c r="A5" s="2">
        <v>104</v>
      </c>
      <c r="B5" s="2" t="s">
        <v>8</v>
      </c>
      <c r="C5" s="3">
        <v>44958</v>
      </c>
      <c r="D5" s="3">
        <v>46053</v>
      </c>
      <c r="E5" s="3">
        <v>32478</v>
      </c>
      <c r="F5">
        <f t="shared" si="0"/>
        <v>1</v>
      </c>
      <c r="G5">
        <f t="shared" si="1"/>
        <v>12</v>
      </c>
      <c r="H5">
        <f t="shared" si="2"/>
        <v>1988</v>
      </c>
      <c r="I5">
        <f t="shared" si="3"/>
        <v>5</v>
      </c>
      <c r="J5">
        <f>DATEDIF(C5,D5,"d")</f>
        <v>1095</v>
      </c>
      <c r="K5">
        <f t="shared" si="5"/>
        <v>783</v>
      </c>
      <c r="L5" s="5">
        <f t="shared" si="6"/>
        <v>44985</v>
      </c>
    </row>
    <row r="6" spans="1:12" x14ac:dyDescent="0.5">
      <c r="A6" s="2">
        <v>105</v>
      </c>
      <c r="B6" s="2" t="s">
        <v>9</v>
      </c>
      <c r="C6" s="3">
        <v>44920</v>
      </c>
      <c r="D6" s="3">
        <v>45651</v>
      </c>
      <c r="E6" s="3">
        <v>33734</v>
      </c>
      <c r="F6">
        <f t="shared" si="0"/>
        <v>10</v>
      </c>
      <c r="G6">
        <f t="shared" si="1"/>
        <v>5</v>
      </c>
      <c r="H6">
        <f t="shared" si="2"/>
        <v>1992</v>
      </c>
      <c r="I6">
        <f t="shared" si="3"/>
        <v>53</v>
      </c>
      <c r="J6">
        <f t="shared" si="4"/>
        <v>731</v>
      </c>
      <c r="K6">
        <f>NETWORKDAYS(C6,D6)</f>
        <v>523</v>
      </c>
      <c r="L6" s="5">
        <f t="shared" si="6"/>
        <v>44926</v>
      </c>
    </row>
    <row r="10" spans="1:12" x14ac:dyDescent="0.5">
      <c r="I10" s="4">
        <f ca="1">NOW()</f>
        <v>46076.840167592592</v>
      </c>
    </row>
    <row r="11" spans="1:12" x14ac:dyDescent="0.5">
      <c r="I11">
        <f ca="1">SECOND(I10)</f>
        <v>50</v>
      </c>
    </row>
    <row r="12" spans="1:12" x14ac:dyDescent="0.5">
      <c r="I12">
        <f ca="1">HOUR(I10)</f>
        <v>20</v>
      </c>
    </row>
    <row r="13" spans="1:12" x14ac:dyDescent="0.5">
      <c r="I13">
        <f ca="1">MINUTE(I10)</f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Pranay Jha</cp:lastModifiedBy>
  <dcterms:created xsi:type="dcterms:W3CDTF">2025-09-28T13:58:33Z</dcterms:created>
  <dcterms:modified xsi:type="dcterms:W3CDTF">2026-02-23T14:39:52Z</dcterms:modified>
</cp:coreProperties>
</file>