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1EFF667C-77B4-4F99-9BA5-882948EF6536}" xr6:coauthVersionLast="47" xr6:coauthVersionMax="47" xr10:uidLastSave="{00000000-0000-0000-0000-000000000000}"/>
  <bookViews>
    <workbookView xWindow="-90" yWindow="0" windowWidth="11700" windowHeight="10170" xr2:uid="{40C2AD64-1959-4267-9CE1-09E41FA55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  <c r="K3" i="1" a="1"/>
  <c r="K3" i="1" s="1"/>
  <c r="K4" i="1" a="1"/>
  <c r="K4" i="1" s="1"/>
  <c r="K5" i="1" a="1"/>
  <c r="K5" i="1"/>
  <c r="K6" i="1" a="1"/>
  <c r="K6" i="1"/>
  <c r="K2" i="1" a="1"/>
  <c r="K2" i="1" s="1"/>
  <c r="J3" i="1" a="1"/>
  <c r="J3" i="1"/>
  <c r="J4" i="1" a="1"/>
  <c r="J4" i="1"/>
  <c r="J5" i="1" a="1"/>
  <c r="J5" i="1"/>
  <c r="J6" i="1" a="1"/>
  <c r="J6" i="1" s="1"/>
  <c r="J2" i="1" a="1"/>
  <c r="J2" i="1" s="1"/>
  <c r="I3" i="1"/>
  <c r="I4" i="1"/>
  <c r="I5" i="1"/>
  <c r="I6" i="1"/>
  <c r="I2" i="1"/>
  <c r="H3" i="1"/>
  <c r="H4" i="1"/>
  <c r="H5" i="1"/>
  <c r="H6" i="1"/>
  <c r="H2" i="1"/>
  <c r="G2" i="1"/>
  <c r="G3" i="1"/>
  <c r="G4" i="1"/>
  <c r="G5" i="1"/>
  <c r="G6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<sst xmlns="http://schemas.openxmlformats.org/spreadsheetml/2006/main" count="27" uniqueCount="24">
  <si>
    <t>Name</t>
  </si>
  <si>
    <t>Age</t>
  </si>
  <si>
    <t>Department</t>
  </si>
  <si>
    <t>Salary</t>
  </si>
  <si>
    <t>Performance</t>
  </si>
  <si>
    <t>Aditi</t>
  </si>
  <si>
    <t>HR</t>
  </si>
  <si>
    <t>Good</t>
  </si>
  <si>
    <t>Raj</t>
  </si>
  <si>
    <t>IT</t>
  </si>
  <si>
    <t>Excellent</t>
  </si>
  <si>
    <t>Meena</t>
  </si>
  <si>
    <t>Finance</t>
  </si>
  <si>
    <t>Average</t>
  </si>
  <si>
    <t>Karan</t>
  </si>
  <si>
    <t>Poor</t>
  </si>
  <si>
    <t>Sonia</t>
  </si>
  <si>
    <t>High/Low</t>
  </si>
  <si>
    <t>IT/High</t>
  </si>
  <si>
    <t>Is-Special</t>
  </si>
  <si>
    <t>Is-HR</t>
  </si>
  <si>
    <t>Employee Grade</t>
  </si>
  <si>
    <t>Dept Full Name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</si>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</sst>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2606-CD84-4BB0-A015-C2BB07549B98}">
  <dimension ref="A1:L6"/>
  <sheetViews>
    <sheetView tabSelected="1" workbookViewId="0">
      <selection activeCell="N9" sqref="N9"/>
    </sheetView>
  </sheetViews>
  <sheetFormatPr defaultRowHeight="21" x14ac:dyDescent="0.5"/>
  <cols>
    <col min="1" max="1" width="6.125" bestFit="1" customWidth="1"/>
    <col min="2" max="2" width="3.75" bestFit="1" customWidth="1"/>
    <col min="3" max="3" width="10.625" bestFit="1" customWidth="1"/>
    <col min="4" max="4" width="6.8125" bestFit="1" customWidth="1"/>
    <col min="5" max="5" width="11.5" bestFit="1" customWidth="1"/>
    <col min="6" max="6" width="8.5625" customWidth="1"/>
    <col min="7" max="7" width="6.625" customWidth="1"/>
    <col min="8" max="8" width="9" customWidth="1"/>
    <col min="9" max="9" width="6.0625" bestFit="1" customWidth="1"/>
    <col min="10" max="10" width="14.375" customWidth="1"/>
    <col min="11" max="11" width="19.4375" customWidth="1"/>
    <col min="12" max="12" width="5.9375" bestFit="1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5">
      <c r="A2" s="2" t="s">
        <v>5</v>
      </c>
      <c r="B2" s="2">
        <v>25</v>
      </c>
      <c r="C2" s="2" t="s">
        <v>6</v>
      </c>
      <c r="D2" s="3">
        <v>40000</v>
      </c>
      <c r="E2" s="2" t="s">
        <v>7</v>
      </c>
      <c r="F2" t="str">
        <f>IF(D2&gt;50000,"High","Low")</f>
        <v>Low</v>
      </c>
      <c r="G2" t="str">
        <f>IF(AND(D2&gt;50000,C2="IT"),"IT-High","Others")</f>
        <v>Others</v>
      </c>
      <c r="H2" t="str">
        <f>IF(OR(D2&gt;70000,B2&lt;30),"special","normal")</f>
        <v>special</v>
      </c>
      <c r="I2" t="str">
        <f>IF(NOT(C2="HR"),"Others","HR")</f>
        <v>HR</v>
      </c>
      <c r="J2" t="str" cm="1">
        <f t="array" ref="J2">_xlfn.IFS(D2&gt;=70000,"A",D2&gt;=60000,"B",D2&gt;=50000,"C",D2&gt;="40000","D",TRUE,"E")</f>
        <v>E</v>
      </c>
      <c r="K2" t="str" cm="1">
        <f t="array" ref="K2">_xlfn.SWITCH(C2,"HR","Human Resource","IT","Information Technology","Accounts")</f>
        <v>Human Resource</v>
      </c>
      <c r="L2">
        <f>IF(E2="Excellent",10000,IF(E2="Good",5000,IF(E2="Average",3000,0)))</f>
        <v>5000</v>
      </c>
    </row>
    <row r="3" spans="1:12" x14ac:dyDescent="0.5">
      <c r="A3" s="2" t="s">
        <v>8</v>
      </c>
      <c r="B3" s="2">
        <v>35</v>
      </c>
      <c r="C3" s="2" t="s">
        <v>9</v>
      </c>
      <c r="D3" s="3">
        <v>65000</v>
      </c>
      <c r="E3" s="2" t="s">
        <v>10</v>
      </c>
      <c r="F3" t="str">
        <f t="shared" ref="F3:F6" si="0">IF(D3&gt;50000,"High","Low")</f>
        <v>High</v>
      </c>
      <c r="G3" t="str">
        <f t="shared" ref="G3:G6" si="1">IF(AND(D3&gt;50000,C3="IT"),"IT-High","Others")</f>
        <v>IT-High</v>
      </c>
      <c r="H3" t="str">
        <f t="shared" ref="H3:H6" si="2">IF(OR(D3&gt;70000,B3&lt;30),"special","normal")</f>
        <v>normal</v>
      </c>
      <c r="I3" t="str">
        <f t="shared" ref="I3:I6" si="3">IF(NOT(C3="HR"),"Others","HR")</f>
        <v>Others</v>
      </c>
      <c r="J3" t="str" cm="1">
        <f t="array" ref="J3">_xlfn.IFS(D3&gt;=70000,"A",D3&gt;=60000,"B",D3&gt;=50000,"C",D3&gt;="40000","D",TRUE,"E")</f>
        <v>B</v>
      </c>
      <c r="K3" t="str" cm="1">
        <f t="array" ref="K3">_xlfn.SWITCH(C3,"HR","Human Resource","IT","Information Technology","Accounts")</f>
        <v>Information Technology</v>
      </c>
      <c r="L3">
        <f t="shared" ref="L3:L6" si="4">IF(E3="Excellent",10000,IF(E3="Good",5000,IF(E3="Average",3000,0)))</f>
        <v>10000</v>
      </c>
    </row>
    <row r="4" spans="1:12" x14ac:dyDescent="0.5">
      <c r="A4" s="2" t="s">
        <v>11</v>
      </c>
      <c r="B4" s="2">
        <v>28</v>
      </c>
      <c r="C4" s="2" t="s">
        <v>12</v>
      </c>
      <c r="D4" s="3">
        <v>55000</v>
      </c>
      <c r="E4" s="2" t="s">
        <v>13</v>
      </c>
      <c r="F4" t="str">
        <f t="shared" si="0"/>
        <v>High</v>
      </c>
      <c r="G4" t="str">
        <f t="shared" si="1"/>
        <v>Others</v>
      </c>
      <c r="H4" t="str">
        <f t="shared" si="2"/>
        <v>special</v>
      </c>
      <c r="I4" t="str">
        <f t="shared" si="3"/>
        <v>Others</v>
      </c>
      <c r="J4" t="str" cm="1">
        <f t="array" ref="J4">_xlfn.IFS(D4&gt;=70000,"A",D4&gt;=60000,"B",D4&gt;=50000,"C",D4&gt;="40000","D",TRUE,"E")</f>
        <v>C</v>
      </c>
      <c r="K4" t="str" cm="1">
        <f t="array" ref="K4">_xlfn.SWITCH(C4,"HR","Human Resource","IT","Information Technology","Accounts")</f>
        <v>Accounts</v>
      </c>
      <c r="L4">
        <f t="shared" si="4"/>
        <v>3000</v>
      </c>
    </row>
    <row r="5" spans="1:12" x14ac:dyDescent="0.5">
      <c r="A5" s="2" t="s">
        <v>14</v>
      </c>
      <c r="B5" s="2">
        <v>42</v>
      </c>
      <c r="C5" s="2" t="s">
        <v>9</v>
      </c>
      <c r="D5" s="3">
        <v>80000</v>
      </c>
      <c r="E5" s="2" t="s">
        <v>15</v>
      </c>
      <c r="F5" t="str">
        <f t="shared" si="0"/>
        <v>High</v>
      </c>
      <c r="G5" t="str">
        <f t="shared" si="1"/>
        <v>IT-High</v>
      </c>
      <c r="H5" t="str">
        <f t="shared" si="2"/>
        <v>special</v>
      </c>
      <c r="I5" t="str">
        <f t="shared" si="3"/>
        <v>Others</v>
      </c>
      <c r="J5" t="str" cm="1">
        <f t="array" ref="J5">_xlfn.IFS(D5&gt;=70000,"A",D5&gt;=60000,"B",D5&gt;=50000,"C",D5&gt;="40000","D",TRUE,"E")</f>
        <v>A</v>
      </c>
      <c r="K5" t="str" cm="1">
        <f t="array" ref="K5">_xlfn.SWITCH(C5,"HR","Human Resource","IT","Information Technology","Accounts")</f>
        <v>Information Technology</v>
      </c>
      <c r="L5">
        <f t="shared" si="4"/>
        <v>0</v>
      </c>
    </row>
    <row r="6" spans="1:12" x14ac:dyDescent="0.5">
      <c r="A6" s="2" t="s">
        <v>16</v>
      </c>
      <c r="B6" s="2">
        <v>30</v>
      </c>
      <c r="C6" s="2" t="s">
        <v>6</v>
      </c>
      <c r="D6" s="3">
        <v>-50000</v>
      </c>
      <c r="E6" s="2" t="s">
        <v>7</v>
      </c>
      <c r="F6" t="str">
        <f t="shared" si="0"/>
        <v>Low</v>
      </c>
      <c r="G6" t="str">
        <f t="shared" si="1"/>
        <v>Others</v>
      </c>
      <c r="H6" t="str">
        <f t="shared" si="2"/>
        <v>normal</v>
      </c>
      <c r="I6" t="str">
        <f t="shared" si="3"/>
        <v>HR</v>
      </c>
      <c r="J6" t="str" cm="1">
        <f t="array" ref="J6">_xlfn.IFS(D6&gt;=70000,"A",D6&gt;=60000,"B",D6&gt;=50000,"C",D6&gt;="40000","D",TRUE,"E")</f>
        <v>E</v>
      </c>
      <c r="K6" t="str" cm="1">
        <f t="array" ref="K6">_xlfn.SWITCH(C6,"HR","Human Resource","IT","Information Technology","Accounts")</f>
        <v>Human Resource</v>
      </c>
      <c r="L6">
        <f t="shared" si="4"/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2025-09-28T12:45:06Z</dcterms:created>
  <dcterms:modified xsi:type="dcterms:W3CDTF">2026-02-21T03:52:04Z</dcterms:modified>
</cp:coreProperties>
</file>